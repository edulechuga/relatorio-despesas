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0a3c185c550ea0d8/Documentos/Custom/Sales/Relatório de Despesas/2026/02. Fev/"/>
    </mc:Choice>
  </mc:AlternateContent>
  <xr:revisionPtr revIDLastSave="109" documentId="14_{6AC90FB8-0361-8A49-8D0F-24D47AB009CE}" xr6:coauthVersionLast="47" xr6:coauthVersionMax="47" xr10:uidLastSave="{C7547492-4FE7-7B43-80FD-327DFE2EE315}"/>
  <bookViews>
    <workbookView xWindow="34280" yWindow="1140" windowWidth="34200" windowHeight="21360" xr2:uid="{00000000-000D-0000-FFFF-FFFF00000000}"/>
  </bookViews>
  <sheets>
    <sheet name="Relatório Despesas Corporativas" sheetId="2" r:id="rId1"/>
    <sheet name="Folha1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2" l="1"/>
  <c r="M21" i="2"/>
  <c r="M22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20" i="2" l="1"/>
  <c r="H15" i="2" s="1"/>
  <c r="H14" i="2"/>
  <c r="H16" i="2" l="1"/>
  <c r="H13" i="2"/>
  <c r="M39" i="2"/>
  <c r="C14" i="2" s="1"/>
  <c r="F14" i="2" s="1"/>
  <c r="H12" i="2"/>
  <c r="F12" i="2" l="1"/>
  <c r="F15" i="2"/>
  <c r="F13" i="2"/>
  <c r="F16" i="2"/>
</calcChain>
</file>

<file path=xl/sharedStrings.xml><?xml version="1.0" encoding="utf-8"?>
<sst xmlns="http://schemas.openxmlformats.org/spreadsheetml/2006/main" count="75" uniqueCount="43">
  <si>
    <t>Relatório de Despesas Corporativas</t>
  </si>
  <si>
    <t>Nome do Colaborador</t>
  </si>
  <si>
    <t>Departamento</t>
  </si>
  <si>
    <t>Cargo</t>
  </si>
  <si>
    <t>Preço pago p/ km</t>
  </si>
  <si>
    <t>Observações</t>
  </si>
  <si>
    <t>Apuração dos Gastos</t>
  </si>
  <si>
    <t>Adiantamento</t>
  </si>
  <si>
    <t>Tipo de Despesa</t>
  </si>
  <si>
    <t>% do Total</t>
  </si>
  <si>
    <t>Valor por Categoria</t>
  </si>
  <si>
    <t>Alimentação</t>
  </si>
  <si>
    <t>Gasto Real</t>
  </si>
  <si>
    <t>Transporte</t>
  </si>
  <si>
    <t>Hospedagem</t>
  </si>
  <si>
    <t>Diferença</t>
  </si>
  <si>
    <t>Quilometragem</t>
  </si>
  <si>
    <t>Outros</t>
  </si>
  <si>
    <t>Descrição dos Gastos</t>
  </si>
  <si>
    <t>Categoria</t>
  </si>
  <si>
    <t>Data</t>
  </si>
  <si>
    <t>Descrição</t>
  </si>
  <si>
    <t>Reembolsável?</t>
  </si>
  <si>
    <t>Qtde</t>
  </si>
  <si>
    <t>Preço Unit.</t>
  </si>
  <si>
    <t>Total</t>
  </si>
  <si>
    <t>Sim</t>
  </si>
  <si>
    <t>Assinatura do Colaborador</t>
  </si>
  <si>
    <t>Assinatura do Gestor</t>
  </si>
  <si>
    <t>Data:</t>
  </si>
  <si>
    <t>Obs</t>
  </si>
  <si>
    <t>Data pgto antecipação</t>
  </si>
  <si>
    <t>EDUARDO LECHUGA</t>
  </si>
  <si>
    <t>EXECUTIVO DE VENDAS</t>
  </si>
  <si>
    <t>COMERCIAL</t>
  </si>
  <si>
    <t>ALIMENTAÇÃO</t>
  </si>
  <si>
    <t>UBER</t>
  </si>
  <si>
    <t>PEDAGIO</t>
  </si>
  <si>
    <t>GASTOS NO CARTÃO PESSOAL</t>
  </si>
  <si>
    <t>KM</t>
  </si>
  <si>
    <t>ESTACIONAMENTO</t>
  </si>
  <si>
    <t>GASOLINA</t>
  </si>
  <si>
    <t>COMPRA SSD PARA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</si>
</sst>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_-"/>
    <numFmt numFmtId="165" formatCode="&quot;R$&quot;#,##0.00"/>
    <numFmt numFmtId="166" formatCode="&quot; R$ &quot;* #,##0.00&quot; &quot;;&quot;-R$ &quot;* #,##0.00&quot; &quot;;&quot; R$ &quot;* &quot;-&quot;??&quot; &quot;"/>
    <numFmt numFmtId="167" formatCode="&quot; &quot;* #,##0.00&quot; &quot;;&quot;-&quot;* #,##0.00&quot; &quot;;&quot; &quot;* &quot;-&quot;??&quot; &quot;"/>
    <numFmt numFmtId="168" formatCode="[$-416]d\-mmm\-yy;@"/>
  </numFmts>
  <fonts count="11" x14ac:knownFonts="1">
    <font>
      <sz val="11"/>
      <color indexed="8"/>
      <name val="Calibri"/>
    </font>
    <font>
      <b/>
      <sz val="28"/>
      <color indexed="18"/>
      <name val="Calibri"/>
      <family val="2"/>
    </font>
    <font>
      <b/>
      <sz val="12"/>
      <color indexed="9"/>
      <name val="Calibri"/>
      <family val="2"/>
    </font>
    <font>
      <b/>
      <sz val="11"/>
      <color indexed="19"/>
      <name val="Calibri"/>
      <family val="2"/>
    </font>
    <font>
      <b/>
      <sz val="14"/>
      <color indexed="9"/>
      <name val="Calibri"/>
      <family val="2"/>
    </font>
    <font>
      <sz val="12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6"/>
      <color indexed="9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20"/>
        <bgColor auto="1"/>
      </patternFill>
    </fill>
  </fills>
  <borders count="54">
    <border>
      <left/>
      <right/>
      <top/>
      <bottom/>
      <diagonal/>
    </border>
    <border>
      <left style="thin">
        <color indexed="16"/>
      </left>
      <right/>
      <top style="thin">
        <color indexed="16"/>
      </top>
      <bottom/>
      <diagonal/>
    </border>
    <border>
      <left/>
      <right/>
      <top style="thin">
        <color indexed="16"/>
      </top>
      <bottom style="medium">
        <color indexed="17"/>
      </bottom>
      <diagonal/>
    </border>
    <border>
      <left/>
      <right style="thin">
        <color indexed="16"/>
      </right>
      <top style="thin">
        <color indexed="16"/>
      </top>
      <bottom style="medium">
        <color indexed="17"/>
      </bottom>
      <diagonal/>
    </border>
    <border>
      <left style="thin">
        <color indexed="16"/>
      </left>
      <right style="medium">
        <color indexed="17"/>
      </right>
      <top/>
      <bottom/>
      <diagonal/>
    </border>
    <border>
      <left style="medium">
        <color indexed="17"/>
      </left>
      <right/>
      <top style="medium">
        <color indexed="17"/>
      </top>
      <bottom/>
      <diagonal/>
    </border>
    <border>
      <left/>
      <right/>
      <top style="medium">
        <color indexed="17"/>
      </top>
      <bottom style="thin">
        <color indexed="17"/>
      </bottom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 style="thin">
        <color indexed="17"/>
      </right>
      <top/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/>
      <right style="medium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8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17"/>
      </left>
      <right/>
      <top/>
      <bottom/>
      <diagonal/>
    </border>
    <border>
      <left/>
      <right/>
      <top/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 style="thin">
        <color indexed="17"/>
      </left>
      <right style="hair">
        <color indexed="17"/>
      </right>
      <top style="thin">
        <color indexed="17"/>
      </top>
      <bottom style="thin">
        <color indexed="17"/>
      </bottom>
      <diagonal/>
    </border>
    <border>
      <left style="hair">
        <color indexed="17"/>
      </left>
      <right style="hair">
        <color indexed="17"/>
      </right>
      <top style="thin">
        <color indexed="17"/>
      </top>
      <bottom style="thin">
        <color indexed="17"/>
      </bottom>
      <diagonal/>
    </border>
    <border>
      <left style="hair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hair">
        <color indexed="17"/>
      </right>
      <top style="thin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thin">
        <color indexed="17"/>
      </top>
      <bottom style="hair">
        <color indexed="17"/>
      </bottom>
      <diagonal/>
    </border>
    <border>
      <left style="hair">
        <color indexed="17"/>
      </left>
      <right style="thin">
        <color indexed="17"/>
      </right>
      <top style="thin">
        <color indexed="17"/>
      </top>
      <bottom style="hair">
        <color indexed="17"/>
      </bottom>
      <diagonal/>
    </border>
    <border>
      <left style="medium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medium">
        <color indexed="17"/>
      </right>
      <top/>
      <bottom/>
      <diagonal/>
    </border>
    <border>
      <left/>
      <right/>
      <top style="hair">
        <color indexed="17"/>
      </top>
      <bottom/>
      <diagonal/>
    </border>
    <border>
      <left/>
      <right style="thin">
        <color indexed="17"/>
      </right>
      <top style="hair">
        <color indexed="17"/>
      </top>
      <bottom/>
      <diagonal/>
    </border>
    <border>
      <left style="thin">
        <color indexed="17"/>
      </left>
      <right/>
      <top style="hair">
        <color indexed="17"/>
      </top>
      <bottom style="thin">
        <color indexed="17"/>
      </bottom>
      <diagonal/>
    </border>
    <border>
      <left/>
      <right/>
      <top style="hair">
        <color indexed="17"/>
      </top>
      <bottom style="thin">
        <color indexed="17"/>
      </bottom>
      <diagonal/>
    </border>
    <border>
      <left/>
      <right style="thin">
        <color indexed="17"/>
      </right>
      <top style="hair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hair">
        <color indexed="17"/>
      </top>
      <bottom style="thin">
        <color indexed="17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17"/>
      </left>
      <right/>
      <top/>
      <bottom style="medium">
        <color indexed="17"/>
      </bottom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thin">
        <color indexed="16"/>
      </left>
      <right/>
      <top/>
      <bottom/>
      <diagonal/>
    </border>
    <border>
      <left/>
      <right/>
      <top style="medium">
        <color indexed="17"/>
      </top>
      <bottom/>
      <diagonal/>
    </border>
    <border>
      <left/>
      <right style="thin">
        <color indexed="16"/>
      </right>
      <top style="medium">
        <color indexed="17"/>
      </top>
      <bottom/>
      <diagonal/>
    </border>
    <border>
      <left style="hair">
        <color indexed="17"/>
      </left>
      <right/>
      <top style="hair">
        <color indexed="17"/>
      </top>
      <bottom style="hair">
        <color indexed="17"/>
      </bottom>
      <diagonal/>
    </border>
    <border>
      <left/>
      <right/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8"/>
      </left>
      <right/>
      <top style="thin">
        <color indexed="17"/>
      </top>
      <bottom style="thin">
        <color indexed="17"/>
      </bottom>
      <diagonal/>
    </border>
  </borders>
  <cellStyleXfs count="2">
    <xf numFmtId="0" fontId="0" fillId="0" borderId="0" applyNumberFormat="0" applyFill="0" applyBorder="0" applyProtection="0"/>
    <xf numFmtId="164" fontId="10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4" xfId="0" applyBorder="1"/>
    <xf numFmtId="49" fontId="2" fillId="3" borderId="15" xfId="0" applyNumberFormat="1" applyFont="1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49" fontId="2" fillId="3" borderId="20" xfId="0" applyNumberFormat="1" applyFont="1" applyFill="1" applyBorder="1" applyAlignment="1">
      <alignment horizontal="center" vertical="center"/>
    </xf>
    <xf numFmtId="0" fontId="0" fillId="0" borderId="21" xfId="0" applyBorder="1"/>
    <xf numFmtId="49" fontId="2" fillId="3" borderId="15" xfId="0" applyNumberFormat="1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166" fontId="0" fillId="2" borderId="21" xfId="0" applyNumberForma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horizontal="center" vertical="center"/>
    </xf>
    <xf numFmtId="167" fontId="0" fillId="2" borderId="15" xfId="0" applyNumberFormat="1" applyFill="1" applyBorder="1" applyAlignment="1">
      <alignment vertical="center"/>
    </xf>
    <xf numFmtId="49" fontId="2" fillId="3" borderId="21" xfId="0" applyNumberFormat="1" applyFont="1" applyFill="1" applyBorder="1" applyAlignment="1">
      <alignment horizontal="center" vertical="center"/>
    </xf>
    <xf numFmtId="167" fontId="0" fillId="2" borderId="15" xfId="0" applyNumberFormat="1" applyFill="1" applyBorder="1" applyAlignment="1">
      <alignment horizontal="center" vertical="center"/>
    </xf>
    <xf numFmtId="166" fontId="0" fillId="2" borderId="24" xfId="0" applyNumberFormat="1" applyFill="1" applyBorder="1" applyAlignment="1">
      <alignment horizontal="center" vertical="center"/>
    </xf>
    <xf numFmtId="0" fontId="0" fillId="0" borderId="25" xfId="0" applyBorder="1"/>
    <xf numFmtId="49" fontId="6" fillId="5" borderId="30" xfId="0" applyNumberFormat="1" applyFont="1" applyFill="1" applyBorder="1" applyAlignment="1">
      <alignment horizontal="center"/>
    </xf>
    <xf numFmtId="49" fontId="6" fillId="5" borderId="31" xfId="0" applyNumberFormat="1" applyFont="1" applyFill="1" applyBorder="1" applyAlignment="1">
      <alignment horizontal="center"/>
    </xf>
    <xf numFmtId="0" fontId="0" fillId="0" borderId="32" xfId="0" applyBorder="1"/>
    <xf numFmtId="49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14" fontId="0" fillId="0" borderId="33" xfId="0" applyNumberFormat="1" applyBorder="1"/>
    <xf numFmtId="0" fontId="0" fillId="0" borderId="33" xfId="0" applyNumberFormat="1" applyBorder="1" applyAlignment="1">
      <alignment horizontal="center"/>
    </xf>
    <xf numFmtId="166" fontId="0" fillId="0" borderId="33" xfId="0" applyNumberFormat="1" applyBorder="1"/>
    <xf numFmtId="0" fontId="0" fillId="0" borderId="34" xfId="0" applyBorder="1"/>
    <xf numFmtId="0" fontId="0" fillId="0" borderId="35" xfId="0" applyBorder="1"/>
    <xf numFmtId="14" fontId="7" fillId="0" borderId="35" xfId="0" applyNumberFormat="1" applyFont="1" applyBorder="1"/>
    <xf numFmtId="0" fontId="7" fillId="0" borderId="35" xfId="0" applyFont="1" applyBorder="1"/>
    <xf numFmtId="0" fontId="7" fillId="0" borderId="36" xfId="0" applyFont="1" applyBorder="1"/>
    <xf numFmtId="166" fontId="8" fillId="5" borderId="40" xfId="0" applyNumberFormat="1" applyFont="1" applyFill="1" applyBorder="1"/>
    <xf numFmtId="0" fontId="0" fillId="0" borderId="41" xfId="0" applyBorder="1"/>
    <xf numFmtId="49" fontId="7" fillId="0" borderId="23" xfId="0" applyNumberFormat="1" applyFont="1" applyBorder="1" applyAlignment="1">
      <alignment horizontal="right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49" fontId="10" fillId="0" borderId="33" xfId="0" applyNumberFormat="1" applyFont="1" applyBorder="1" applyAlignment="1">
      <alignment horizontal="center"/>
    </xf>
    <xf numFmtId="49" fontId="0" fillId="0" borderId="33" xfId="0" applyNumberFormat="1" applyBorder="1"/>
    <xf numFmtId="0" fontId="0" fillId="0" borderId="33" xfId="0" applyBorder="1"/>
    <xf numFmtId="164" fontId="0" fillId="0" borderId="33" xfId="1" applyFont="1" applyBorder="1" applyAlignment="1"/>
    <xf numFmtId="0" fontId="0" fillId="2" borderId="9" xfId="0" applyFill="1" applyBorder="1" applyAlignment="1">
      <alignment vertical="center"/>
    </xf>
    <xf numFmtId="0" fontId="10" fillId="0" borderId="10" xfId="0" applyFont="1" applyBorder="1"/>
    <xf numFmtId="168" fontId="10" fillId="0" borderId="33" xfId="0" applyNumberFormat="1" applyFont="1" applyBorder="1"/>
    <xf numFmtId="168" fontId="0" fillId="0" borderId="33" xfId="0" applyNumberFormat="1" applyBorder="1"/>
    <xf numFmtId="0" fontId="10" fillId="0" borderId="33" xfId="0" applyNumberFormat="1" applyFont="1" applyBorder="1" applyAlignment="1">
      <alignment horizontal="center"/>
    </xf>
    <xf numFmtId="9" fontId="0" fillId="2" borderId="15" xfId="0" applyNumberFormat="1" applyFill="1" applyBorder="1" applyAlignment="1">
      <alignment horizontal="center" vertical="center"/>
    </xf>
    <xf numFmtId="0" fontId="0" fillId="0" borderId="15" xfId="0" applyBorder="1"/>
    <xf numFmtId="49" fontId="2" fillId="3" borderId="15" xfId="0" applyNumberFormat="1" applyFont="1" applyFill="1" applyBorder="1" applyAlignment="1">
      <alignment horizontal="center"/>
    </xf>
    <xf numFmtId="0" fontId="5" fillId="0" borderId="15" xfId="0" applyFont="1" applyBorder="1"/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165" fontId="3" fillId="2" borderId="53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165" fontId="3" fillId="2" borderId="52" xfId="0" applyNumberFormat="1" applyFont="1" applyFill="1" applyBorder="1" applyAlignment="1">
      <alignment horizontal="center" vertical="center"/>
    </xf>
    <xf numFmtId="168" fontId="10" fillId="2" borderId="10" xfId="0" applyNumberFormat="1" applyFont="1" applyFill="1" applyBorder="1" applyAlignment="1">
      <alignment horizontal="center" vertical="center"/>
    </xf>
    <xf numFmtId="168" fontId="0" fillId="2" borderId="10" xfId="0" applyNumberFormat="1" applyFill="1" applyBorder="1" applyAlignment="1">
      <alignment horizontal="center" vertical="center"/>
    </xf>
    <xf numFmtId="168" fontId="0" fillId="2" borderId="1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49" fontId="2" fillId="5" borderId="26" xfId="0" applyNumberFormat="1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49" fontId="6" fillId="5" borderId="29" xfId="0" applyNumberFormat="1" applyFont="1" applyFill="1" applyBorder="1" applyAlignment="1">
      <alignment horizontal="center"/>
    </xf>
    <xf numFmtId="0" fontId="6" fillId="5" borderId="30" xfId="0" applyFont="1" applyFill="1" applyBorder="1" applyAlignment="1">
      <alignment horizontal="center"/>
    </xf>
    <xf numFmtId="49" fontId="6" fillId="5" borderId="30" xfId="0" applyNumberFormat="1" applyFont="1" applyFill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3" xfId="0" applyBorder="1" applyAlignment="1">
      <alignment horizontal="center"/>
    </xf>
    <xf numFmtId="168" fontId="0" fillId="0" borderId="23" xfId="0" applyNumberFormat="1" applyBorder="1" applyAlignment="1">
      <alignment horizontal="center"/>
    </xf>
    <xf numFmtId="49" fontId="9" fillId="0" borderId="42" xfId="0" applyNumberFormat="1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49" fontId="8" fillId="5" borderId="37" xfId="0" applyNumberFormat="1" applyFont="1" applyFill="1" applyBorder="1" applyAlignment="1">
      <alignment horizontal="center"/>
    </xf>
    <xf numFmtId="0" fontId="8" fillId="5" borderId="38" xfId="0" applyFont="1" applyFill="1" applyBorder="1" applyAlignment="1">
      <alignment horizontal="center"/>
    </xf>
    <xf numFmtId="0" fontId="8" fillId="5" borderId="39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8D8D8"/>
      <rgbColor rgb="FF3F3F3F"/>
      <rgbColor rgb="FF595959"/>
      <rgbColor rgb="FF7ECEC6"/>
      <rgbColor rgb="FFD883FF"/>
      <rgbColor rgb="FFFF4F79"/>
      <rgbColor rgb="FFAAAAAA"/>
      <rgbColor rgb="FFADACAC"/>
      <rgbColor rgb="FF6566A6"/>
      <rgbColor rgb="FFFF0000"/>
      <rgbColor rgb="FF56BAAE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i="0" u="none" strike="noStrike">
                <a:solidFill>
                  <a:srgbClr val="595959"/>
                </a:solidFill>
                <a:latin typeface="Calibri"/>
              </a:defRPr>
            </a:pPr>
            <a:r>
              <a:rPr lang="pt-BR" sz="1400" b="0" i="0" u="none" strike="noStrike">
                <a:solidFill>
                  <a:srgbClr val="595959"/>
                </a:solidFill>
                <a:latin typeface="Calibri"/>
              </a:rPr>
              <a:t>Categorias das Despesas Efetuadas</a:t>
            </a:r>
          </a:p>
        </c:rich>
      </c:tx>
      <c:layout>
        <c:manualLayout>
          <c:xMode val="edge"/>
          <c:yMode val="edge"/>
          <c:x val="0.26630399999999999"/>
          <c:y val="0"/>
          <c:w val="0.467393"/>
          <c:h val="0.26076700000000003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5.6118899999999999E-2"/>
          <c:y val="0.26076700000000003"/>
          <c:w val="0.93888099999999997"/>
          <c:h val="0.53893000000000002"/>
        </c:manualLayout>
      </c:layout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7ECEC6"/>
            </a:solidFill>
            <a:ln w="12700" cap="flat">
              <a:noFill/>
              <a:miter lim="400000"/>
            </a:ln>
            <a:effectLst/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F3E-43FA-B58B-861BC4490FE1}"/>
              </c:ext>
            </c:extLst>
          </c:dPt>
          <c:dPt>
            <c:idx val="1"/>
            <c:invertIfNegative val="1"/>
            <c:bubble3D val="0"/>
            <c:spPr>
              <a:solidFill>
                <a:srgbClr val="D883FF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3E-43FA-B58B-861BC4490FE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3E-43FA-B58B-861BC4490FE1}"/>
              </c:ext>
            </c:extLst>
          </c:dPt>
          <c:dPt>
            <c:idx val="3"/>
            <c:invertIfNegative val="1"/>
            <c:bubble3D val="0"/>
            <c:spPr>
              <a:solidFill>
                <a:srgbClr val="FF4F79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3E-43FA-B58B-861BC4490FE1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3E-43FA-B58B-861BC4490FE1}"/>
              </c:ext>
            </c:extLst>
          </c:dPt>
          <c:dLbls>
            <c:dLbl>
              <c:idx val="0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F3E-43FA-B58B-861BC4490FE1}"/>
                </c:ext>
              </c:extLst>
            </c:dLbl>
            <c:dLbl>
              <c:idx val="1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F3E-43FA-B58B-861BC4490FE1}"/>
                </c:ext>
              </c:extLst>
            </c:dLbl>
            <c:dLbl>
              <c:idx val="2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F3E-43FA-B58B-861BC4490FE1}"/>
                </c:ext>
              </c:extLst>
            </c:dLbl>
            <c:dLbl>
              <c:idx val="3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F3E-43FA-B58B-861BC4490FE1}"/>
                </c:ext>
              </c:extLst>
            </c:dLbl>
            <c:dLbl>
              <c:idx val="4"/>
              <c:numFmt formatCode="0%" sourceLinked="0"/>
              <c:spPr/>
              <c:txPr>
                <a:bodyPr/>
                <a:lstStyle/>
                <a:p>
                  <a:pPr>
                    <a:defRPr sz="900" b="0" i="0" u="none" strike="noStrike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F3E-43FA-B58B-861BC4490FE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'Relatório Despesas Corporativas'!$E$12:$E$16</c:f>
              <c:strCache>
                <c:ptCount val="5"/>
                <c:pt idx="0">
                  <c:v>Alimentação</c:v>
                </c:pt>
                <c:pt idx="1">
                  <c:v>Transporte</c:v>
                </c:pt>
                <c:pt idx="2">
                  <c:v>Hospedagem</c:v>
                </c:pt>
                <c:pt idx="3">
                  <c:v>Quilometragem</c:v>
                </c:pt>
                <c:pt idx="4">
                  <c:v>Outros</c:v>
                </c:pt>
              </c:strCache>
            </c:strRef>
          </c:cat>
          <c:val>
            <c:numRef>
              <c:f>'Relatório Despesas Corporativas'!$F$12:$F$16</c:f>
              <c:numCache>
                <c:formatCode>0%</c:formatCode>
                <c:ptCount val="5"/>
                <c:pt idx="0">
                  <c:v>0.43007176412946357</c:v>
                </c:pt>
                <c:pt idx="1">
                  <c:v>0.23333141193763143</c:v>
                </c:pt>
                <c:pt idx="2">
                  <c:v>0</c:v>
                </c:pt>
                <c:pt idx="3">
                  <c:v>0</c:v>
                </c:pt>
                <c:pt idx="4">
                  <c:v>0.3365968239329048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3E-43FA-B58B-861BC449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94734552"/>
        <c:crosses val="autoZero"/>
        <c:crossBetween val="between"/>
        <c:majorUnit val="7.4999999999999997E-2"/>
        <c:minorUnit val="3.7499999999999999E-2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159160</xdr:colOff>
      <xdr:row>10</xdr:row>
      <xdr:rowOff>44155</xdr:rowOff>
    </xdr:from>
    <xdr:to>
      <xdr:col>12</xdr:col>
      <xdr:colOff>1168401</xdr:colOff>
      <xdr:row>16</xdr:row>
      <xdr:rowOff>94395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2</xdr:row>
      <xdr:rowOff>209550</xdr:rowOff>
    </xdr:from>
    <xdr:to>
      <xdr:col>4</xdr:col>
      <xdr:colOff>999624</xdr:colOff>
      <xdr:row>2</xdr:row>
      <xdr:rowOff>561975</xdr:rowOff>
    </xdr:to>
    <xdr:pic>
      <xdr:nvPicPr>
        <xdr:cNvPr id="2" name="Imagem 4" descr="Desenho de um cachorro&#10;&#10;Descrição gerada automaticamente">
          <a:extLst>
            <a:ext uri="{FF2B5EF4-FFF2-40B4-BE49-F238E27FC236}">
              <a16:creationId xmlns:a16="http://schemas.microsoft.com/office/drawing/2014/main" id="{EF0C9BB5-F130-3A81-8538-AA5B1EC9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600075"/>
          <a:ext cx="2485524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50"/>
  <sheetViews>
    <sheetView showGridLines="0" tabSelected="1" workbookViewId="0">
      <selection activeCell="M30" sqref="M30"/>
    </sheetView>
  </sheetViews>
  <sheetFormatPr baseColWidth="10" defaultColWidth="8.83203125" defaultRowHeight="15" customHeight="1" x14ac:dyDescent="0.2"/>
  <cols>
    <col min="1" max="1" width="5.33203125" style="1" customWidth="1"/>
    <col min="2" max="2" width="2.6640625" style="1" customWidth="1"/>
    <col min="3" max="3" width="23.1640625" style="1" customWidth="1"/>
    <col min="4" max="4" width="1.33203125" style="1" customWidth="1"/>
    <col min="5" max="5" width="15.1640625" style="1" customWidth="1"/>
    <col min="6" max="6" width="7" style="1" customWidth="1"/>
    <col min="7" max="7" width="14.83203125" style="1" customWidth="1"/>
    <col min="8" max="8" width="20.83203125" style="1" customWidth="1"/>
    <col min="9" max="9" width="23.5" style="1" customWidth="1"/>
    <col min="10" max="10" width="15.83203125" style="1" customWidth="1"/>
    <col min="11" max="11" width="8" style="1" customWidth="1"/>
    <col min="12" max="12" width="16.83203125" style="1" customWidth="1"/>
    <col min="13" max="13" width="17.5" style="1" customWidth="1"/>
    <col min="14" max="14" width="2.6640625" style="1" customWidth="1"/>
    <col min="15" max="256" width="8.83203125" style="1" customWidth="1"/>
  </cols>
  <sheetData>
    <row r="1" spans="1:14" ht="16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5" customHeight="1" x14ac:dyDescent="0.2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</row>
    <row r="3" spans="1:14" ht="64.5" customHeight="1" x14ac:dyDescent="0.2">
      <c r="A3" s="5"/>
      <c r="B3" s="9"/>
      <c r="C3" s="74" t="s">
        <v>0</v>
      </c>
      <c r="D3" s="75"/>
      <c r="E3" s="75"/>
      <c r="F3" s="75"/>
      <c r="G3" s="75"/>
      <c r="H3" s="75"/>
      <c r="I3" s="75"/>
      <c r="J3" s="75"/>
      <c r="K3" s="75"/>
      <c r="L3" s="75"/>
      <c r="M3" s="76"/>
      <c r="N3" s="10"/>
    </row>
    <row r="4" spans="1:14" ht="15" customHeight="1" x14ac:dyDescent="0.2">
      <c r="A4" s="5"/>
      <c r="B4" s="11"/>
      <c r="C4" s="12"/>
      <c r="D4" s="12"/>
      <c r="E4" s="12"/>
      <c r="F4" s="12"/>
      <c r="G4" s="12"/>
      <c r="H4" s="12"/>
      <c r="I4" s="12"/>
      <c r="J4" s="12"/>
      <c r="K4" s="12"/>
      <c r="L4" s="86"/>
      <c r="M4" s="86"/>
      <c r="N4" s="14"/>
    </row>
    <row r="5" spans="1:14" ht="21.75" customHeight="1" x14ac:dyDescent="0.2">
      <c r="A5" s="5"/>
      <c r="B5" s="9"/>
      <c r="C5" s="15" t="s">
        <v>1</v>
      </c>
      <c r="D5" s="77" t="s">
        <v>32</v>
      </c>
      <c r="E5" s="78"/>
      <c r="F5" s="78"/>
      <c r="G5" s="78"/>
      <c r="H5" s="78"/>
      <c r="I5" s="78"/>
      <c r="J5" s="78"/>
      <c r="K5" s="78"/>
      <c r="L5" s="78"/>
      <c r="M5" s="79"/>
      <c r="N5" s="10"/>
    </row>
    <row r="6" spans="1:14" ht="18.75" customHeight="1" x14ac:dyDescent="0.2">
      <c r="A6" s="5"/>
      <c r="B6" s="9"/>
      <c r="C6" s="15" t="s">
        <v>3</v>
      </c>
      <c r="D6" s="68" t="s">
        <v>33</v>
      </c>
      <c r="E6" s="69"/>
      <c r="F6" s="69"/>
      <c r="G6" s="70"/>
      <c r="H6" s="15" t="s">
        <v>2</v>
      </c>
      <c r="I6" s="68" t="s">
        <v>34</v>
      </c>
      <c r="J6" s="69"/>
      <c r="K6" s="69"/>
      <c r="L6" s="69"/>
      <c r="M6" s="70"/>
      <c r="N6" s="10"/>
    </row>
    <row r="7" spans="1:14" ht="18.75" customHeight="1" x14ac:dyDescent="0.2">
      <c r="A7" s="5"/>
      <c r="B7" s="9"/>
      <c r="C7" s="15" t="s">
        <v>31</v>
      </c>
      <c r="D7" s="59"/>
      <c r="E7" s="83"/>
      <c r="F7" s="84"/>
      <c r="G7" s="85"/>
      <c r="H7" s="15" t="s">
        <v>4</v>
      </c>
      <c r="I7" s="16">
        <v>1.95</v>
      </c>
      <c r="J7" s="15" t="s">
        <v>5</v>
      </c>
      <c r="K7" s="80" t="s">
        <v>38</v>
      </c>
      <c r="L7" s="81"/>
      <c r="M7" s="82"/>
      <c r="N7" s="10"/>
    </row>
    <row r="8" spans="1:14" ht="15" customHeight="1" x14ac:dyDescent="0.2">
      <c r="A8" s="5"/>
      <c r="B8" s="11"/>
      <c r="C8" s="12"/>
      <c r="D8" s="12"/>
      <c r="E8" s="12"/>
      <c r="F8" s="12"/>
      <c r="G8" s="60"/>
      <c r="H8" s="12"/>
      <c r="I8" s="12"/>
      <c r="J8" s="12"/>
      <c r="K8" s="12"/>
      <c r="L8" s="12"/>
      <c r="M8" s="12"/>
      <c r="N8" s="14"/>
    </row>
    <row r="9" spans="1:14" ht="19" customHeight="1" x14ac:dyDescent="0.25">
      <c r="A9" s="5"/>
      <c r="B9" s="9"/>
      <c r="C9" s="71" t="s">
        <v>6</v>
      </c>
      <c r="D9" s="72"/>
      <c r="E9" s="72"/>
      <c r="F9" s="72"/>
      <c r="G9" s="72"/>
      <c r="H9" s="72"/>
      <c r="I9" s="72"/>
      <c r="J9" s="72"/>
      <c r="K9" s="72"/>
      <c r="L9" s="72"/>
      <c r="M9" s="73"/>
      <c r="N9" s="10"/>
    </row>
    <row r="10" spans="1:14" ht="15" customHeight="1" x14ac:dyDescent="0.2">
      <c r="A10" s="5"/>
      <c r="B10" s="11"/>
      <c r="C10" s="12"/>
      <c r="D10" s="17"/>
      <c r="E10" s="13"/>
      <c r="F10" s="13"/>
      <c r="G10" s="13"/>
      <c r="H10" s="13"/>
      <c r="I10" s="18"/>
      <c r="J10" s="18"/>
      <c r="K10" s="18"/>
      <c r="L10" s="18"/>
      <c r="M10" s="18"/>
      <c r="N10" s="19"/>
    </row>
    <row r="11" spans="1:14" ht="15.75" customHeight="1" x14ac:dyDescent="0.2">
      <c r="A11" s="5"/>
      <c r="B11" s="9"/>
      <c r="C11" s="20" t="s">
        <v>7</v>
      </c>
      <c r="D11" s="21"/>
      <c r="E11" s="22" t="s">
        <v>8</v>
      </c>
      <c r="F11" s="66" t="s">
        <v>9</v>
      </c>
      <c r="G11" s="67"/>
      <c r="H11" s="22" t="s">
        <v>10</v>
      </c>
      <c r="I11" s="23"/>
      <c r="J11" s="24"/>
      <c r="K11" s="24"/>
      <c r="L11" s="25"/>
      <c r="M11" s="24"/>
      <c r="N11" s="14"/>
    </row>
    <row r="12" spans="1:14" ht="16" customHeight="1" x14ac:dyDescent="0.2">
      <c r="A12" s="5"/>
      <c r="B12" s="9"/>
      <c r="C12" s="26">
        <v>0</v>
      </c>
      <c r="D12" s="21"/>
      <c r="E12" s="27" t="s">
        <v>11</v>
      </c>
      <c r="F12" s="64">
        <f>H12/$C$14</f>
        <v>0.43007176412946357</v>
      </c>
      <c r="G12" s="65"/>
      <c r="H12" s="28">
        <f>SUMIF($C$20:$C$38,"="&amp;E12,$M$20:$M$38)</f>
        <v>1492.22</v>
      </c>
      <c r="I12" s="23"/>
      <c r="J12" s="24"/>
      <c r="K12" s="24"/>
      <c r="L12" s="25"/>
      <c r="M12" s="24"/>
      <c r="N12" s="14"/>
    </row>
    <row r="13" spans="1:14" ht="16" customHeight="1" x14ac:dyDescent="0.2">
      <c r="A13" s="5"/>
      <c r="B13" s="9"/>
      <c r="C13" s="29" t="s">
        <v>12</v>
      </c>
      <c r="D13" s="21"/>
      <c r="E13" s="27" t="s">
        <v>13</v>
      </c>
      <c r="F13" s="64">
        <f>H13/$C$14</f>
        <v>0.23333141193763143</v>
      </c>
      <c r="G13" s="65"/>
      <c r="H13" s="30">
        <f>SUMIF($C$20:$C$38,"="&amp;E13,$M$20:$M$38)</f>
        <v>809.58999999999992</v>
      </c>
      <c r="I13" s="23"/>
      <c r="J13" s="24"/>
      <c r="K13" s="24"/>
      <c r="L13" s="25"/>
      <c r="M13" s="24"/>
      <c r="N13" s="14"/>
    </row>
    <row r="14" spans="1:14" ht="16" customHeight="1" x14ac:dyDescent="0.2">
      <c r="A14" s="5"/>
      <c r="B14" s="9"/>
      <c r="C14" s="26">
        <f>M39</f>
        <v>3469.7000000000007</v>
      </c>
      <c r="D14" s="21"/>
      <c r="E14" s="27" t="s">
        <v>14</v>
      </c>
      <c r="F14" s="64">
        <f>H14/$C$14</f>
        <v>0</v>
      </c>
      <c r="G14" s="65"/>
      <c r="H14" s="28">
        <f>SUMIF($C$20:$C$38,"="&amp;E14,$M$20:$M$38)</f>
        <v>0</v>
      </c>
      <c r="I14" s="23"/>
      <c r="J14" s="24"/>
      <c r="K14" s="24"/>
      <c r="L14" s="25"/>
      <c r="M14" s="24"/>
      <c r="N14" s="14"/>
    </row>
    <row r="15" spans="1:14" ht="16" customHeight="1" x14ac:dyDescent="0.2">
      <c r="A15" s="5"/>
      <c r="B15" s="9"/>
      <c r="C15" s="29" t="s">
        <v>15</v>
      </c>
      <c r="D15" s="21"/>
      <c r="E15" s="27" t="s">
        <v>16</v>
      </c>
      <c r="F15" s="64">
        <f>H15/$C$14</f>
        <v>0</v>
      </c>
      <c r="G15" s="65"/>
      <c r="H15" s="28">
        <f>SUMIF($C$20:$C$38,"="&amp;E15,$M$20:$M$38)</f>
        <v>0</v>
      </c>
      <c r="I15" s="23"/>
      <c r="J15" s="24"/>
      <c r="K15" s="24"/>
      <c r="L15" s="25"/>
      <c r="M15" s="24"/>
      <c r="N15" s="14"/>
    </row>
    <row r="16" spans="1:14" ht="16" customHeight="1" x14ac:dyDescent="0.2">
      <c r="A16" s="5"/>
      <c r="B16" s="9"/>
      <c r="C16" s="31">
        <v>0</v>
      </c>
      <c r="D16" s="21"/>
      <c r="E16" s="27" t="s">
        <v>17</v>
      </c>
      <c r="F16" s="64">
        <f>H16/$C$14</f>
        <v>0.3365968239329048</v>
      </c>
      <c r="G16" s="65"/>
      <c r="H16" s="28">
        <f>SUMIF($C$20:$C$38,"="&amp;E16,$M$20:$M$38)</f>
        <v>1167.8900000000001</v>
      </c>
      <c r="I16" s="23"/>
      <c r="J16" s="24"/>
      <c r="K16" s="24"/>
      <c r="L16" s="24"/>
      <c r="M16" s="24"/>
      <c r="N16" s="14"/>
    </row>
    <row r="17" spans="1:14" ht="15" customHeight="1" x14ac:dyDescent="0.2">
      <c r="A17" s="5"/>
      <c r="B17" s="11"/>
      <c r="C17" s="12"/>
      <c r="D17" s="32"/>
      <c r="E17" s="12"/>
      <c r="F17" s="12"/>
      <c r="G17" s="12"/>
      <c r="H17" s="12"/>
      <c r="I17" s="32"/>
      <c r="J17" s="32"/>
      <c r="K17" s="32"/>
      <c r="L17" s="32"/>
      <c r="M17" s="32"/>
      <c r="N17" s="14"/>
    </row>
    <row r="18" spans="1:14" ht="16" customHeight="1" x14ac:dyDescent="0.2">
      <c r="A18" s="5"/>
      <c r="B18" s="9"/>
      <c r="C18" s="89" t="s">
        <v>18</v>
      </c>
      <c r="D18" s="90"/>
      <c r="E18" s="90"/>
      <c r="F18" s="90"/>
      <c r="G18" s="90"/>
      <c r="H18" s="90"/>
      <c r="I18" s="90"/>
      <c r="J18" s="90"/>
      <c r="K18" s="90"/>
      <c r="L18" s="90"/>
      <c r="M18" s="91"/>
      <c r="N18" s="10"/>
    </row>
    <row r="19" spans="1:14" ht="15" customHeight="1" x14ac:dyDescent="0.2">
      <c r="A19" s="5"/>
      <c r="B19" s="9"/>
      <c r="C19" s="92" t="s">
        <v>19</v>
      </c>
      <c r="D19" s="93"/>
      <c r="E19" s="33" t="s">
        <v>20</v>
      </c>
      <c r="F19" s="94" t="s">
        <v>21</v>
      </c>
      <c r="G19" s="93"/>
      <c r="H19" s="93"/>
      <c r="I19" s="33" t="s">
        <v>30</v>
      </c>
      <c r="J19" s="33" t="s">
        <v>22</v>
      </c>
      <c r="K19" s="33" t="s">
        <v>23</v>
      </c>
      <c r="L19" s="33" t="s">
        <v>24</v>
      </c>
      <c r="M19" s="34" t="s">
        <v>25</v>
      </c>
      <c r="N19" s="10"/>
    </row>
    <row r="20" spans="1:14" ht="15" customHeight="1" x14ac:dyDescent="0.2">
      <c r="A20" s="5"/>
      <c r="B20" s="35"/>
      <c r="C20" s="87" t="s">
        <v>11</v>
      </c>
      <c r="D20" s="88"/>
      <c r="E20" s="61">
        <v>46076</v>
      </c>
      <c r="F20" s="96" t="s">
        <v>35</v>
      </c>
      <c r="G20" s="97"/>
      <c r="H20" s="98"/>
      <c r="I20" s="37"/>
      <c r="J20" s="55" t="s">
        <v>26</v>
      </c>
      <c r="K20" s="39">
        <v>1</v>
      </c>
      <c r="L20" s="40">
        <v>1492.22</v>
      </c>
      <c r="M20" s="40">
        <f>IF(OR(K20="",L20=""),"",K20*L20)</f>
        <v>1492.22</v>
      </c>
      <c r="N20" s="41"/>
    </row>
    <row r="21" spans="1:14" ht="15" customHeight="1" x14ac:dyDescent="0.2">
      <c r="A21" s="5"/>
      <c r="B21" s="35"/>
      <c r="C21" s="87" t="s">
        <v>13</v>
      </c>
      <c r="D21" s="88"/>
      <c r="E21" s="61">
        <v>46076</v>
      </c>
      <c r="F21" s="96" t="s">
        <v>39</v>
      </c>
      <c r="G21" s="97"/>
      <c r="H21" s="98"/>
      <c r="I21" s="37"/>
      <c r="J21" s="36" t="s">
        <v>26</v>
      </c>
      <c r="K21" s="39">
        <v>1</v>
      </c>
      <c r="L21" s="40">
        <v>304.01</v>
      </c>
      <c r="M21" s="40">
        <f t="shared" ref="M21:M22" si="0">IF(OR(K21="",L21=""),"",K21*L21)</f>
        <v>304.01</v>
      </c>
      <c r="N21" s="41"/>
    </row>
    <row r="22" spans="1:14" ht="15" customHeight="1" x14ac:dyDescent="0.2">
      <c r="A22" s="5"/>
      <c r="B22" s="35"/>
      <c r="C22" s="87" t="s">
        <v>13</v>
      </c>
      <c r="D22" s="88"/>
      <c r="E22" s="61">
        <v>46076</v>
      </c>
      <c r="F22" s="95" t="s">
        <v>37</v>
      </c>
      <c r="G22" s="88"/>
      <c r="H22" s="88"/>
      <c r="I22" s="37"/>
      <c r="J22" s="36" t="s">
        <v>26</v>
      </c>
      <c r="K22" s="39">
        <v>1</v>
      </c>
      <c r="L22" s="40">
        <v>27.4</v>
      </c>
      <c r="M22" s="40">
        <f t="shared" si="0"/>
        <v>27.4</v>
      </c>
      <c r="N22" s="41"/>
    </row>
    <row r="23" spans="1:14" ht="15" customHeight="1" x14ac:dyDescent="0.2">
      <c r="A23" s="5"/>
      <c r="B23" s="35"/>
      <c r="C23" s="87" t="s">
        <v>13</v>
      </c>
      <c r="D23" s="88"/>
      <c r="E23" s="61">
        <v>46076</v>
      </c>
      <c r="F23" s="95" t="s">
        <v>36</v>
      </c>
      <c r="G23" s="88"/>
      <c r="H23" s="88"/>
      <c r="I23" s="37"/>
      <c r="J23" s="36" t="s">
        <v>26</v>
      </c>
      <c r="K23" s="39">
        <v>1</v>
      </c>
      <c r="L23" s="40">
        <v>295.76</v>
      </c>
      <c r="M23" s="40">
        <f t="shared" ref="M23:M38" si="1">IF(OR(K23="",L23=""),"",K23*L23)</f>
        <v>295.76</v>
      </c>
      <c r="N23" s="41"/>
    </row>
    <row r="24" spans="1:14" ht="15" customHeight="1" x14ac:dyDescent="0.2">
      <c r="A24" s="5"/>
      <c r="B24" s="35"/>
      <c r="C24" s="87" t="s">
        <v>13</v>
      </c>
      <c r="D24" s="88"/>
      <c r="E24" s="61">
        <v>46076</v>
      </c>
      <c r="F24" s="95" t="s">
        <v>41</v>
      </c>
      <c r="G24" s="88"/>
      <c r="H24" s="88"/>
      <c r="I24" s="37"/>
      <c r="J24" s="36" t="s">
        <v>26</v>
      </c>
      <c r="K24" s="63">
        <v>1</v>
      </c>
      <c r="L24" s="40">
        <v>166.42</v>
      </c>
      <c r="M24" s="40">
        <f t="shared" si="1"/>
        <v>166.42</v>
      </c>
      <c r="N24" s="41"/>
    </row>
    <row r="25" spans="1:14" ht="15" customHeight="1" x14ac:dyDescent="0.2">
      <c r="A25" s="5"/>
      <c r="B25" s="35"/>
      <c r="C25" s="87" t="s">
        <v>13</v>
      </c>
      <c r="D25" s="88"/>
      <c r="E25" s="61">
        <v>46076</v>
      </c>
      <c r="F25" s="95" t="s">
        <v>40</v>
      </c>
      <c r="G25" s="88"/>
      <c r="H25" s="88"/>
      <c r="I25" s="37"/>
      <c r="J25" s="36" t="s">
        <v>26</v>
      </c>
      <c r="K25" s="39">
        <v>1</v>
      </c>
      <c r="L25" s="40">
        <v>16</v>
      </c>
      <c r="M25" s="40">
        <f t="shared" si="1"/>
        <v>16</v>
      </c>
      <c r="N25" s="41"/>
    </row>
    <row r="26" spans="1:14" ht="15" customHeight="1" x14ac:dyDescent="0.2">
      <c r="A26" s="5"/>
      <c r="B26" s="35"/>
      <c r="C26" s="87" t="s">
        <v>17</v>
      </c>
      <c r="D26" s="88"/>
      <c r="E26" s="61">
        <v>46076</v>
      </c>
      <c r="F26" s="95" t="s">
        <v>42</v>
      </c>
      <c r="G26" s="88"/>
      <c r="H26" s="88"/>
      <c r="I26" s="37"/>
      <c r="J26" s="36" t="s">
        <v>26</v>
      </c>
      <c r="K26" s="39">
        <v>1</v>
      </c>
      <c r="L26" s="40">
        <v>1167.8900000000001</v>
      </c>
      <c r="M26" s="40">
        <f t="shared" si="1"/>
        <v>1167.8900000000001</v>
      </c>
      <c r="N26" s="41"/>
    </row>
    <row r="27" spans="1:14" ht="15" customHeight="1" x14ac:dyDescent="0.2">
      <c r="A27" s="5"/>
      <c r="B27" s="35"/>
      <c r="C27" s="87"/>
      <c r="D27" s="88"/>
      <c r="E27" s="62"/>
      <c r="F27" s="88"/>
      <c r="G27" s="88"/>
      <c r="H27" s="88"/>
      <c r="I27" s="37"/>
      <c r="J27" s="36" t="s">
        <v>26</v>
      </c>
      <c r="K27" s="39">
        <v>0</v>
      </c>
      <c r="L27" s="40">
        <v>0</v>
      </c>
      <c r="M27" s="40">
        <f t="shared" si="1"/>
        <v>0</v>
      </c>
      <c r="N27" s="41"/>
    </row>
    <row r="28" spans="1:14" ht="15" customHeight="1" x14ac:dyDescent="0.2">
      <c r="A28" s="5"/>
      <c r="B28" s="35"/>
      <c r="C28" s="87"/>
      <c r="D28" s="88"/>
      <c r="E28" s="62"/>
      <c r="F28" s="88"/>
      <c r="G28" s="88"/>
      <c r="H28" s="88"/>
      <c r="I28" s="37"/>
      <c r="J28" s="36" t="s">
        <v>26</v>
      </c>
      <c r="K28" s="39">
        <v>0</v>
      </c>
      <c r="L28" s="40">
        <v>0</v>
      </c>
      <c r="M28" s="40">
        <f t="shared" si="1"/>
        <v>0</v>
      </c>
      <c r="N28" s="41"/>
    </row>
    <row r="29" spans="1:14" ht="15" customHeight="1" x14ac:dyDescent="0.2">
      <c r="A29" s="5"/>
      <c r="B29" s="35"/>
      <c r="C29" s="87"/>
      <c r="D29" s="88"/>
      <c r="E29" s="62"/>
      <c r="F29" s="88"/>
      <c r="G29" s="88"/>
      <c r="H29" s="88"/>
      <c r="I29" s="37"/>
      <c r="J29" s="36" t="s">
        <v>26</v>
      </c>
      <c r="K29" s="39">
        <v>0</v>
      </c>
      <c r="L29" s="40">
        <v>0</v>
      </c>
      <c r="M29" s="40">
        <f t="shared" si="1"/>
        <v>0</v>
      </c>
      <c r="N29" s="41"/>
    </row>
    <row r="30" spans="1:14" ht="15" customHeight="1" x14ac:dyDescent="0.2">
      <c r="A30" s="5"/>
      <c r="B30" s="35"/>
      <c r="C30" s="87"/>
      <c r="D30" s="88"/>
      <c r="E30" s="62"/>
      <c r="F30" s="88"/>
      <c r="G30" s="88"/>
      <c r="H30" s="88"/>
      <c r="I30" s="37"/>
      <c r="J30" s="36" t="s">
        <v>26</v>
      </c>
      <c r="K30" s="39">
        <v>0</v>
      </c>
      <c r="L30" s="40">
        <v>0</v>
      </c>
      <c r="M30" s="40">
        <f t="shared" si="1"/>
        <v>0</v>
      </c>
      <c r="N30" s="41"/>
    </row>
    <row r="31" spans="1:14" ht="15" customHeight="1" x14ac:dyDescent="0.2">
      <c r="A31" s="5"/>
      <c r="B31" s="35"/>
      <c r="C31" s="87"/>
      <c r="D31" s="88"/>
      <c r="E31" s="62"/>
      <c r="F31" s="88"/>
      <c r="G31" s="88"/>
      <c r="H31" s="88"/>
      <c r="I31" s="37"/>
      <c r="J31" s="36" t="s">
        <v>26</v>
      </c>
      <c r="K31" s="39">
        <v>0</v>
      </c>
      <c r="L31" s="40">
        <v>0</v>
      </c>
      <c r="M31" s="40">
        <f t="shared" si="1"/>
        <v>0</v>
      </c>
      <c r="N31" s="41"/>
    </row>
    <row r="32" spans="1:14" ht="15" customHeight="1" x14ac:dyDescent="0.2">
      <c r="A32" s="5"/>
      <c r="B32" s="35"/>
      <c r="C32" s="87"/>
      <c r="D32" s="88"/>
      <c r="E32" s="62"/>
      <c r="F32" s="88"/>
      <c r="G32" s="88"/>
      <c r="H32" s="88"/>
      <c r="I32" s="37"/>
      <c r="J32" s="36" t="s">
        <v>26</v>
      </c>
      <c r="K32" s="39">
        <v>0</v>
      </c>
      <c r="L32" s="40">
        <v>0</v>
      </c>
      <c r="M32" s="40">
        <f t="shared" si="1"/>
        <v>0</v>
      </c>
      <c r="N32" s="41"/>
    </row>
    <row r="33" spans="1:14" ht="15" customHeight="1" x14ac:dyDescent="0.2">
      <c r="A33" s="5"/>
      <c r="B33" s="35"/>
      <c r="C33" s="87"/>
      <c r="D33" s="88"/>
      <c r="E33" s="38"/>
      <c r="F33" s="88"/>
      <c r="G33" s="88"/>
      <c r="H33" s="88"/>
      <c r="I33" s="37"/>
      <c r="J33" s="36" t="s">
        <v>26</v>
      </c>
      <c r="K33" s="39">
        <v>0</v>
      </c>
      <c r="L33" s="40">
        <v>0</v>
      </c>
      <c r="M33" s="40">
        <f t="shared" si="1"/>
        <v>0</v>
      </c>
      <c r="N33" s="41"/>
    </row>
    <row r="34" spans="1:14" ht="15" customHeight="1" x14ac:dyDescent="0.2">
      <c r="A34" s="5"/>
      <c r="B34" s="35"/>
      <c r="C34" s="87"/>
      <c r="D34" s="88"/>
      <c r="E34" s="38"/>
      <c r="F34" s="88"/>
      <c r="G34" s="88"/>
      <c r="H34" s="88"/>
      <c r="I34" s="37"/>
      <c r="J34" s="36" t="s">
        <v>26</v>
      </c>
      <c r="K34" s="39">
        <v>0</v>
      </c>
      <c r="L34" s="40">
        <v>0</v>
      </c>
      <c r="M34" s="40">
        <f t="shared" si="1"/>
        <v>0</v>
      </c>
      <c r="N34" s="41"/>
    </row>
    <row r="35" spans="1:14" ht="15" customHeight="1" x14ac:dyDescent="0.2">
      <c r="A35" s="5"/>
      <c r="B35" s="35"/>
      <c r="C35" s="87"/>
      <c r="D35" s="88"/>
      <c r="E35" s="38"/>
      <c r="F35" s="88"/>
      <c r="G35" s="88"/>
      <c r="H35" s="88"/>
      <c r="I35" s="37"/>
      <c r="J35" s="36" t="s">
        <v>26</v>
      </c>
      <c r="K35" s="39">
        <v>0</v>
      </c>
      <c r="L35" s="40">
        <v>0</v>
      </c>
      <c r="M35" s="40">
        <f t="shared" si="1"/>
        <v>0</v>
      </c>
      <c r="N35" s="41"/>
    </row>
    <row r="36" spans="1:14" ht="15" customHeight="1" x14ac:dyDescent="0.2">
      <c r="A36" s="5"/>
      <c r="B36" s="35"/>
      <c r="C36" s="87"/>
      <c r="D36" s="88"/>
      <c r="E36" s="38"/>
      <c r="F36" s="88"/>
      <c r="G36" s="88"/>
      <c r="H36" s="88"/>
      <c r="I36" s="37"/>
      <c r="J36" s="36" t="s">
        <v>26</v>
      </c>
      <c r="K36" s="39">
        <v>0</v>
      </c>
      <c r="L36" s="40">
        <v>0</v>
      </c>
      <c r="M36" s="40">
        <f t="shared" si="1"/>
        <v>0</v>
      </c>
      <c r="N36" s="41"/>
    </row>
    <row r="37" spans="1:14" ht="15" customHeight="1" x14ac:dyDescent="0.2">
      <c r="A37" s="5"/>
      <c r="B37" s="35"/>
      <c r="C37" s="87"/>
      <c r="D37" s="88"/>
      <c r="E37" s="38"/>
      <c r="F37" s="88"/>
      <c r="G37" s="88"/>
      <c r="H37" s="88"/>
      <c r="I37" s="37"/>
      <c r="J37" s="36" t="s">
        <v>26</v>
      </c>
      <c r="K37" s="39">
        <v>0</v>
      </c>
      <c r="L37" s="40">
        <v>0</v>
      </c>
      <c r="M37" s="40">
        <f t="shared" si="1"/>
        <v>0</v>
      </c>
      <c r="N37" s="41"/>
    </row>
    <row r="38" spans="1:14" ht="15" customHeight="1" x14ac:dyDescent="0.2">
      <c r="A38" s="5"/>
      <c r="B38" s="35"/>
      <c r="C38" s="87"/>
      <c r="D38" s="88"/>
      <c r="E38" s="38"/>
      <c r="F38" s="88"/>
      <c r="G38" s="88"/>
      <c r="H38" s="88"/>
      <c r="I38" s="37"/>
      <c r="J38" s="36" t="s">
        <v>26</v>
      </c>
      <c r="K38" s="39">
        <v>0</v>
      </c>
      <c r="L38" s="40">
        <v>0</v>
      </c>
      <c r="M38" s="40">
        <f t="shared" si="1"/>
        <v>0</v>
      </c>
      <c r="N38" s="41"/>
    </row>
    <row r="39" spans="1:14" ht="15" customHeight="1" x14ac:dyDescent="0.25">
      <c r="A39" s="5"/>
      <c r="B39" s="35"/>
      <c r="C39" s="42"/>
      <c r="D39" s="42"/>
      <c r="E39" s="43"/>
      <c r="F39" s="44"/>
      <c r="G39" s="44"/>
      <c r="H39" s="45"/>
      <c r="I39" s="103" t="s">
        <v>25</v>
      </c>
      <c r="J39" s="104"/>
      <c r="K39" s="104"/>
      <c r="L39" s="105"/>
      <c r="M39" s="46">
        <f>SUMIF(J20:J38,"Sim",M20:M38)</f>
        <v>3469.7000000000007</v>
      </c>
      <c r="N39" s="41"/>
    </row>
    <row r="40" spans="1:14" ht="15" customHeight="1" x14ac:dyDescent="0.2">
      <c r="A40" s="5"/>
      <c r="B40" s="35"/>
      <c r="C40" s="24"/>
      <c r="D40" s="24"/>
      <c r="E40" s="24"/>
      <c r="F40" s="24"/>
      <c r="G40" s="24"/>
      <c r="H40" s="24"/>
      <c r="I40" s="17"/>
      <c r="J40" s="17"/>
      <c r="K40" s="17"/>
      <c r="L40" s="17"/>
      <c r="M40" s="17"/>
      <c r="N40" s="41"/>
    </row>
    <row r="41" spans="1:14" ht="15" customHeight="1" x14ac:dyDescent="0.2">
      <c r="A41" s="5"/>
      <c r="B41" s="3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41"/>
    </row>
    <row r="42" spans="1:14" ht="21" customHeight="1" x14ac:dyDescent="0.2">
      <c r="A42" s="5"/>
      <c r="B42" s="11"/>
      <c r="C42" s="47"/>
      <c r="D42" s="47"/>
      <c r="E42" s="47"/>
      <c r="F42" s="47"/>
      <c r="G42" s="24"/>
      <c r="H42" s="47"/>
      <c r="I42" s="47"/>
      <c r="J42" s="47"/>
      <c r="K42" s="47"/>
      <c r="L42" s="47"/>
      <c r="M42" s="24"/>
      <c r="N42" s="10"/>
    </row>
    <row r="43" spans="1:14" ht="15" customHeight="1" x14ac:dyDescent="0.2">
      <c r="A43" s="5"/>
      <c r="B43" s="11"/>
      <c r="C43" s="101" t="s">
        <v>27</v>
      </c>
      <c r="D43" s="102"/>
      <c r="E43" s="102"/>
      <c r="F43" s="102"/>
      <c r="G43" s="24"/>
      <c r="H43" s="101" t="s">
        <v>28</v>
      </c>
      <c r="I43" s="102"/>
      <c r="J43" s="102"/>
      <c r="K43" s="102"/>
      <c r="L43" s="102"/>
      <c r="M43" s="24"/>
      <c r="N43" s="14"/>
    </row>
    <row r="44" spans="1:14" ht="15" customHeight="1" x14ac:dyDescent="0.2">
      <c r="A44" s="5"/>
      <c r="B44" s="11"/>
      <c r="C44" s="48" t="s">
        <v>29</v>
      </c>
      <c r="D44" s="100">
        <v>46076</v>
      </c>
      <c r="E44" s="100"/>
      <c r="F44" s="100"/>
      <c r="G44" s="24"/>
      <c r="H44" s="48" t="s">
        <v>29</v>
      </c>
      <c r="I44" s="99"/>
      <c r="J44" s="99"/>
      <c r="K44" s="99"/>
      <c r="L44" s="99"/>
      <c r="M44" s="24"/>
      <c r="N44" s="14"/>
    </row>
    <row r="45" spans="1:14" ht="15" customHeight="1" x14ac:dyDescent="0.2">
      <c r="A45" s="5"/>
      <c r="B45" s="11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14"/>
    </row>
    <row r="46" spans="1:14" ht="16" customHeight="1" thickBot="1" x14ac:dyDescent="0.25">
      <c r="A46" s="5"/>
      <c r="B46" s="11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14"/>
    </row>
    <row r="47" spans="1:14" ht="15" customHeight="1" x14ac:dyDescent="0.2">
      <c r="A47" s="5"/>
      <c r="B47" s="11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14"/>
    </row>
    <row r="48" spans="1:14" ht="15" customHeight="1" x14ac:dyDescent="0.2">
      <c r="A48" s="5"/>
      <c r="B48" s="11"/>
      <c r="N48" s="14"/>
    </row>
    <row r="49" spans="1:14" ht="16" customHeight="1" thickBot="1" x14ac:dyDescent="0.25">
      <c r="A49" s="5"/>
      <c r="B49" s="49"/>
      <c r="N49" s="51"/>
    </row>
    <row r="50" spans="1:14" ht="15" customHeight="1" x14ac:dyDescent="0.2">
      <c r="A50" s="52"/>
      <c r="B50" s="53"/>
      <c r="N50" s="54"/>
    </row>
  </sheetData>
  <mergeCells count="60">
    <mergeCell ref="I44:L44"/>
    <mergeCell ref="D44:F44"/>
    <mergeCell ref="C43:F43"/>
    <mergeCell ref="H43:L43"/>
    <mergeCell ref="I39:L39"/>
    <mergeCell ref="F20:H20"/>
    <mergeCell ref="C20:D20"/>
    <mergeCell ref="F31:H31"/>
    <mergeCell ref="F22:H22"/>
    <mergeCell ref="C22:D22"/>
    <mergeCell ref="C27:D27"/>
    <mergeCell ref="F27:H27"/>
    <mergeCell ref="F30:H30"/>
    <mergeCell ref="C24:D24"/>
    <mergeCell ref="F24:H24"/>
    <mergeCell ref="C25:D25"/>
    <mergeCell ref="F25:H25"/>
    <mergeCell ref="C26:D26"/>
    <mergeCell ref="C23:D23"/>
    <mergeCell ref="F26:H26"/>
    <mergeCell ref="C36:D36"/>
    <mergeCell ref="C37:D37"/>
    <mergeCell ref="F38:H38"/>
    <mergeCell ref="F37:H37"/>
    <mergeCell ref="C38:D38"/>
    <mergeCell ref="F36:H36"/>
    <mergeCell ref="F34:H34"/>
    <mergeCell ref="F33:H33"/>
    <mergeCell ref="F29:H29"/>
    <mergeCell ref="C30:D30"/>
    <mergeCell ref="F32:H32"/>
    <mergeCell ref="C33:D33"/>
    <mergeCell ref="F15:G15"/>
    <mergeCell ref="C35:D35"/>
    <mergeCell ref="C18:M18"/>
    <mergeCell ref="C28:D28"/>
    <mergeCell ref="C19:D19"/>
    <mergeCell ref="C32:D32"/>
    <mergeCell ref="C31:D31"/>
    <mergeCell ref="F28:H28"/>
    <mergeCell ref="C29:D29"/>
    <mergeCell ref="F19:H19"/>
    <mergeCell ref="C34:D34"/>
    <mergeCell ref="F16:G16"/>
    <mergeCell ref="C21:D21"/>
    <mergeCell ref="F35:H35"/>
    <mergeCell ref="F23:H23"/>
    <mergeCell ref="F21:H21"/>
    <mergeCell ref="C3:M3"/>
    <mergeCell ref="D5:M5"/>
    <mergeCell ref="K7:M7"/>
    <mergeCell ref="E7:G7"/>
    <mergeCell ref="I6:M6"/>
    <mergeCell ref="L4:M4"/>
    <mergeCell ref="F14:G14"/>
    <mergeCell ref="F13:G13"/>
    <mergeCell ref="F11:G11"/>
    <mergeCell ref="D6:G6"/>
    <mergeCell ref="C9:M9"/>
    <mergeCell ref="F12:G12"/>
  </mergeCells>
  <pageMargins left="0.51181100000000002" right="0.51181100000000002" top="0.78740200000000005" bottom="0.78740200000000005" header="0.31496099999999999" footer="0.31496099999999999"/>
  <pageSetup scale="83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7A678D-849E-4EB0-9BBC-0C520E01542F}">
          <x14:formula1>
            <xm:f>Folha1!$A$1:$A$5</xm:f>
          </x14:formula1>
          <xm:sqref>C20:D38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6E39-38B9-49B6-897E-5BD0B89E551A}">
  <dimension ref="A1:B5"/>
  <sheetViews>
    <sheetView workbookViewId="0">
      <selection activeCell="E4" sqref="E4"/>
    </sheetView>
  </sheetViews>
  <sheetFormatPr baseColWidth="10" defaultColWidth="8.83203125" defaultRowHeight="15" x14ac:dyDescent="0.2"/>
  <sheetData>
    <row r="1" spans="1:2" x14ac:dyDescent="0.2">
      <c r="A1" s="56" t="s">
        <v>11</v>
      </c>
      <c r="B1" s="57"/>
    </row>
    <row r="2" spans="1:2" x14ac:dyDescent="0.2">
      <c r="A2" s="58" t="s">
        <v>13</v>
      </c>
      <c r="B2" s="58"/>
    </row>
    <row r="3" spans="1:2" x14ac:dyDescent="0.2">
      <c r="A3" s="56" t="s">
        <v>14</v>
      </c>
      <c r="B3" s="57"/>
    </row>
    <row r="4" spans="1:2" x14ac:dyDescent="0.2">
      <c r="A4" s="56" t="s">
        <v>16</v>
      </c>
      <c r="B4" s="57"/>
    </row>
    <row r="5" spans="1:2" x14ac:dyDescent="0.2">
      <c r="A5" s="56" t="s">
        <v>17</v>
      </c>
      <c r="B5" s="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Relatório Despesas Corporativas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Eduardo Lechuga</cp:lastModifiedBy>
  <dcterms:created xsi:type="dcterms:W3CDTF">2023-10-03T14:26:06Z</dcterms:created>
  <dcterms:modified xsi:type="dcterms:W3CDTF">2026-02-23T20:13:21Z</dcterms:modified>
</cp:coreProperties>
</file>